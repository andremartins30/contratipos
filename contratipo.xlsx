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ndremartins\Desktop\calc-contratipo\"/>
    </mc:Choice>
  </mc:AlternateContent>
  <xr:revisionPtr revIDLastSave="0" documentId="13_ncr:1_{090D3796-C408-403C-9B0E-0814D795AE8E}" xr6:coauthVersionLast="47" xr6:coauthVersionMax="47" xr10:uidLastSave="{00000000-0000-0000-0000-000000000000}"/>
  <bookViews>
    <workbookView xWindow="-23148" yWindow="5448" windowWidth="23256" windowHeight="12456" activeTab="1" xr2:uid="{00000000-000D-0000-FFFF-FFFF00000000}"/>
  </bookViews>
  <sheets>
    <sheet name="Plan1" sheetId="1" r:id="rId1"/>
    <sheet name="Planilha2" sheetId="3" r:id="rId2"/>
    <sheet name="Planilha1" sheetId="2" r:id="rId3"/>
  </sheets>
  <definedNames>
    <definedName name="_xlnm._FilterDatabase" localSheetId="0" hidden="1">Plan1!$B$4:$F$18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6" i="2" l="1"/>
  <c r="H66" i="2" s="1"/>
  <c r="J66" i="2"/>
  <c r="K66" i="2"/>
  <c r="L66" i="2"/>
  <c r="L59" i="2"/>
  <c r="J59" i="2"/>
  <c r="H59" i="2"/>
  <c r="D69" i="2"/>
  <c r="G59" i="2"/>
  <c r="I59" i="2" s="1"/>
  <c r="G60" i="2"/>
  <c r="J60" i="2" s="1"/>
  <c r="G61" i="2"/>
  <c r="L61" i="2" s="1"/>
  <c r="G62" i="2"/>
  <c r="H62" i="2" s="1"/>
  <c r="G63" i="2"/>
  <c r="H63" i="2" s="1"/>
  <c r="G64" i="2"/>
  <c r="H64" i="2" s="1"/>
  <c r="G65" i="2"/>
  <c r="J65" i="2" s="1"/>
  <c r="G58" i="2"/>
  <c r="L58" i="2" s="1"/>
  <c r="I9" i="3"/>
  <c r="I6" i="3"/>
  <c r="K53" i="3"/>
  <c r="K52" i="3"/>
  <c r="K51" i="3"/>
  <c r="K50" i="3"/>
  <c r="K49" i="3"/>
  <c r="K48" i="3"/>
  <c r="K47" i="3"/>
  <c r="G51" i="3"/>
  <c r="G49" i="3"/>
  <c r="G48" i="3"/>
  <c r="K43" i="3"/>
  <c r="K42" i="3"/>
  <c r="K41" i="3"/>
  <c r="G41" i="3"/>
  <c r="K40" i="3"/>
  <c r="K39" i="3"/>
  <c r="K38" i="3"/>
  <c r="G38" i="3"/>
  <c r="G47" i="3"/>
  <c r="K37" i="3"/>
  <c r="J32" i="3"/>
  <c r="J31" i="3"/>
  <c r="J30" i="3"/>
  <c r="J29" i="3"/>
  <c r="J28" i="3"/>
  <c r="J27" i="3"/>
  <c r="E12" i="3"/>
  <c r="I51" i="3" s="1"/>
  <c r="E11" i="3"/>
  <c r="K28" i="3" s="1"/>
  <c r="E10" i="3"/>
  <c r="K27" i="3" s="1"/>
  <c r="E9" i="3"/>
  <c r="F41" i="3" s="1"/>
  <c r="E8" i="3"/>
  <c r="K29" i="3" s="1"/>
  <c r="E7" i="3"/>
  <c r="G53" i="3" s="1"/>
  <c r="E6" i="3"/>
  <c r="K31" i="3" s="1"/>
  <c r="E5" i="3"/>
  <c r="K32" i="3" s="1"/>
  <c r="E4" i="3"/>
  <c r="K30" i="3" s="1"/>
  <c r="C49" i="2"/>
  <c r="D28" i="2"/>
  <c r="D15" i="2"/>
  <c r="H13" i="1"/>
  <c r="O10" i="1"/>
  <c r="N10" i="1"/>
  <c r="O9" i="1"/>
  <c r="N9" i="1"/>
  <c r="O8" i="1"/>
  <c r="N8" i="1"/>
  <c r="O7" i="1"/>
  <c r="N7" i="1"/>
  <c r="O6" i="1"/>
  <c r="N6" i="1"/>
  <c r="M10" i="1"/>
  <c r="L10" i="1"/>
  <c r="K10" i="1"/>
  <c r="J10" i="1"/>
  <c r="I10" i="1"/>
  <c r="M9" i="1"/>
  <c r="L9" i="1"/>
  <c r="K9" i="1"/>
  <c r="J9" i="1"/>
  <c r="I9" i="1"/>
  <c r="M8" i="1"/>
  <c r="L8" i="1"/>
  <c r="K8" i="1"/>
  <c r="J8" i="1"/>
  <c r="I8" i="1"/>
  <c r="M7" i="1"/>
  <c r="L7" i="1"/>
  <c r="K7" i="1"/>
  <c r="J7" i="1"/>
  <c r="I7" i="1"/>
  <c r="M6" i="1"/>
  <c r="L6" i="1"/>
  <c r="K6" i="1"/>
  <c r="J6" i="1"/>
  <c r="I6" i="1"/>
  <c r="F18" i="1"/>
  <c r="F14" i="1"/>
  <c r="F8" i="1"/>
  <c r="F12" i="1"/>
  <c r="F7" i="1"/>
  <c r="F17" i="1"/>
  <c r="F5" i="1"/>
  <c r="F9" i="1"/>
  <c r="F13" i="1"/>
  <c r="F15" i="1"/>
  <c r="F16" i="1"/>
  <c r="F6" i="1"/>
  <c r="F11" i="1"/>
  <c r="F10" i="1"/>
  <c r="G42" i="3" l="1"/>
  <c r="G37" i="3"/>
  <c r="G43" i="3"/>
  <c r="G52" i="3"/>
  <c r="G39" i="3"/>
  <c r="G50" i="3"/>
  <c r="G40" i="3"/>
  <c r="I37" i="3"/>
  <c r="I43" i="3"/>
  <c r="I50" i="3"/>
  <c r="I40" i="3"/>
  <c r="I66" i="2"/>
  <c r="L60" i="2"/>
  <c r="I60" i="2"/>
  <c r="H61" i="2"/>
  <c r="H60" i="2"/>
  <c r="I61" i="2"/>
  <c r="K63" i="2"/>
  <c r="L64" i="2"/>
  <c r="L63" i="2"/>
  <c r="K64" i="2"/>
  <c r="I64" i="2"/>
  <c r="K62" i="2"/>
  <c r="I62" i="2"/>
  <c r="K61" i="2"/>
  <c r="K60" i="2"/>
  <c r="K59" i="2"/>
  <c r="L65" i="2"/>
  <c r="L69" i="2" s="1"/>
  <c r="H65" i="2"/>
  <c r="J64" i="2"/>
  <c r="J62" i="2"/>
  <c r="J61" i="2"/>
  <c r="L62" i="2"/>
  <c r="H58" i="2"/>
  <c r="I58" i="2"/>
  <c r="K58" i="2"/>
  <c r="J58" i="2"/>
  <c r="G69" i="2"/>
  <c r="K65" i="2"/>
  <c r="I65" i="2"/>
  <c r="J63" i="2"/>
  <c r="I63" i="2"/>
  <c r="I47" i="3"/>
  <c r="I42" i="3"/>
  <c r="I52" i="3"/>
  <c r="I53" i="3"/>
  <c r="I39" i="3"/>
  <c r="I49" i="3"/>
  <c r="F39" i="3"/>
  <c r="F42" i="3"/>
  <c r="F47" i="3"/>
  <c r="F50" i="3"/>
  <c r="F37" i="3"/>
  <c r="F53" i="3"/>
  <c r="F40" i="3"/>
  <c r="F49" i="3"/>
  <c r="F43" i="3"/>
  <c r="F52" i="3"/>
  <c r="K33" i="3"/>
  <c r="K34" i="3" s="1"/>
  <c r="H48" i="3" s="1"/>
  <c r="F38" i="3"/>
  <c r="F48" i="3"/>
  <c r="F51" i="3"/>
  <c r="I38" i="3"/>
  <c r="I41" i="3"/>
  <c r="I48" i="3"/>
  <c r="K69" i="2" l="1"/>
  <c r="H69" i="2"/>
  <c r="I69" i="2"/>
  <c r="J69" i="2"/>
  <c r="H39" i="3"/>
  <c r="J39" i="3" s="1"/>
  <c r="L39" i="3" s="1"/>
  <c r="J48" i="3"/>
  <c r="L48" i="3" s="1"/>
  <c r="H42" i="3"/>
  <c r="J42" i="3" s="1"/>
  <c r="L42" i="3" s="1"/>
  <c r="H53" i="3"/>
  <c r="J53" i="3" s="1"/>
  <c r="L53" i="3" s="1"/>
  <c r="H37" i="3"/>
  <c r="J37" i="3" s="1"/>
  <c r="H43" i="3"/>
  <c r="J43" i="3" s="1"/>
  <c r="L43" i="3" s="1"/>
  <c r="H40" i="3"/>
  <c r="J40" i="3" s="1"/>
  <c r="L40" i="3" s="1"/>
  <c r="H49" i="3"/>
  <c r="J49" i="3" s="1"/>
  <c r="L49" i="3" s="1"/>
  <c r="H51" i="3"/>
  <c r="J51" i="3" s="1"/>
  <c r="L51" i="3" s="1"/>
  <c r="H38" i="3"/>
  <c r="J38" i="3" s="1"/>
  <c r="L38" i="3" s="1"/>
  <c r="H41" i="3"/>
  <c r="J41" i="3" s="1"/>
  <c r="L41" i="3" s="1"/>
  <c r="H52" i="3"/>
  <c r="J52" i="3" s="1"/>
  <c r="L52" i="3" s="1"/>
  <c r="H50" i="3"/>
  <c r="J50" i="3" s="1"/>
  <c r="L50" i="3" s="1"/>
  <c r="H47" i="3"/>
  <c r="J47" i="3" s="1"/>
  <c r="L37" i="3" l="1"/>
  <c r="I5" i="3" s="1"/>
  <c r="I4" i="3"/>
  <c r="L47" i="3"/>
  <c r="I8" i="3" s="1"/>
  <c r="I7" i="3"/>
</calcChain>
</file>

<file path=xl/sharedStrings.xml><?xml version="1.0" encoding="utf-8"?>
<sst xmlns="http://schemas.openxmlformats.org/spreadsheetml/2006/main" count="233" uniqueCount="127">
  <si>
    <t>Loja</t>
  </si>
  <si>
    <t>ml</t>
  </si>
  <si>
    <t>preço</t>
  </si>
  <si>
    <t>preço/ml</t>
  </si>
  <si>
    <t>produto</t>
  </si>
  <si>
    <t>neuro</t>
  </si>
  <si>
    <t>aventus</t>
  </si>
  <si>
    <t>vaporo</t>
  </si>
  <si>
    <t>az</t>
  </si>
  <si>
    <t>pano</t>
  </si>
  <si>
    <t>byny</t>
  </si>
  <si>
    <t>Comparativo — preço por ml (R$/ml)</t>
  </si>
  <si>
    <t>ml \ loja</t>
  </si>
  <si>
    <t>Melhor loja</t>
  </si>
  <si>
    <t>R$/ml</t>
  </si>
  <si>
    <t>Conclusão</t>
  </si>
  <si>
    <t>Compare sempre dentro do mesmo volume (linha): frascos maiores tendem a ter preço/ml menor.</t>
  </si>
  <si>
    <t>galaxolide 100%</t>
  </si>
  <si>
    <t>iso e super  100%</t>
  </si>
  <si>
    <t>Ambroxan 10%</t>
  </si>
  <si>
    <t>Hedione 100%</t>
  </si>
  <si>
    <t>Essencia</t>
  </si>
  <si>
    <t>Dihidromicenol</t>
  </si>
  <si>
    <t>Oleo bergamota</t>
  </si>
  <si>
    <t>Alcool cereal</t>
  </si>
  <si>
    <t>gramas</t>
  </si>
  <si>
    <t>mililitros</t>
  </si>
  <si>
    <t>Material</t>
  </si>
  <si>
    <t>Oleo limao siciliano</t>
  </si>
  <si>
    <t>Alcool cereal 96%</t>
  </si>
  <si>
    <t>Propilenoglicol</t>
  </si>
  <si>
    <t>Glicerina bidestilada</t>
  </si>
  <si>
    <t>Galaxolide</t>
  </si>
  <si>
    <t>Hedione</t>
  </si>
  <si>
    <t>iso e super</t>
  </si>
  <si>
    <t>Ambroxan</t>
  </si>
  <si>
    <t>%</t>
  </si>
  <si>
    <t>Essencia 100ml</t>
  </si>
  <si>
    <t xml:space="preserve">Base </t>
  </si>
  <si>
    <t>300ml</t>
  </si>
  <si>
    <t>pano artes</t>
  </si>
  <si>
    <t>mercado livre</t>
  </si>
  <si>
    <t>shopee</t>
  </si>
  <si>
    <t>Iso e super</t>
  </si>
  <si>
    <t>Propileno</t>
  </si>
  <si>
    <t>Item</t>
  </si>
  <si>
    <t>Por 250ml</t>
  </si>
  <si>
    <t>Álcool</t>
  </si>
  <si>
    <t>225ml</t>
  </si>
  <si>
    <t>Água deionizada</t>
  </si>
  <si>
    <t>12,5ml</t>
  </si>
  <si>
    <t>5ml</t>
  </si>
  <si>
    <t>Iso E Super</t>
  </si>
  <si>
    <t>3,75ml</t>
  </si>
  <si>
    <t>2,5ml</t>
  </si>
  <si>
    <t>1,25ml</t>
  </si>
  <si>
    <t>Perfume</t>
  </si>
  <si>
    <t>Concentração</t>
  </si>
  <si>
    <t>Base a retirar</t>
  </si>
  <si>
    <t>Versace Pour Homme</t>
  </si>
  <si>
    <t>YSL Libre</t>
  </si>
  <si>
    <t>YSL Myself</t>
  </si>
  <si>
    <t>Delina</t>
  </si>
  <si>
    <t>Erba Pura</t>
  </si>
  <si>
    <t>Scandal</t>
  </si>
  <si>
    <t>Creed Aventus</t>
  </si>
  <si>
    <t>Família</t>
  </si>
  <si>
    <t>Hedione (% do perfume final)</t>
  </si>
  <si>
    <t>Cítrico</t>
  </si>
  <si>
    <t>Aromático/Fresco</t>
  </si>
  <si>
    <t>Aromático/Gourmand</t>
  </si>
  <si>
    <t>Floral</t>
  </si>
  <si>
    <t>Oriental/Gourmand</t>
  </si>
  <si>
    <t>Chypre frutado</t>
  </si>
  <si>
    <t>Quantidade</t>
  </si>
  <si>
    <t>Preço</t>
  </si>
  <si>
    <t xml:space="preserve">Essencia symrise </t>
  </si>
  <si>
    <t>Alcool cereais</t>
  </si>
  <si>
    <t>Frasco</t>
  </si>
  <si>
    <t>BASE PARA PERFUME - Etapa 1</t>
  </si>
  <si>
    <t>Essência</t>
  </si>
  <si>
    <t>7,05ml</t>
  </si>
  <si>
    <t>22,95ml</t>
  </si>
  <si>
    <t>7,5ml</t>
  </si>
  <si>
    <t>22,5ml</t>
  </si>
  <si>
    <t>11,75ml</t>
  </si>
  <si>
    <t>38,25ml</t>
  </si>
  <si>
    <t>37,5ml</t>
  </si>
  <si>
    <t>Mistura essencia + base (para 30ml de perfume)</t>
  </si>
  <si>
    <t>Mistura essencia + base (para 50ml de perfume)</t>
  </si>
  <si>
    <t>Agua Deionizada</t>
  </si>
  <si>
    <t>Adição de Hedione</t>
  </si>
  <si>
    <t>Custo Unitário (R$)</t>
  </si>
  <si>
    <t>Custo da Base (Etapa 1)</t>
  </si>
  <si>
    <t>Lote (mL)</t>
  </si>
  <si>
    <t>Custo (R$)</t>
  </si>
  <si>
    <t>Total</t>
  </si>
  <si>
    <t>Custo por mL</t>
  </si>
  <si>
    <t>Custo Essência (R$)</t>
  </si>
  <si>
    <t>Custo Hedione (R$)</t>
  </si>
  <si>
    <t>Custo Base (R$)</t>
  </si>
  <si>
    <t>Custo Frasco (R$)</t>
  </si>
  <si>
    <t>Custo Total (R$)</t>
  </si>
  <si>
    <t>Margem</t>
  </si>
  <si>
    <t>Preço de Venda (R$)</t>
  </si>
  <si>
    <t>Margem de Lucro (30ml)</t>
  </si>
  <si>
    <t>Margem de Lucro (50ml)</t>
  </si>
  <si>
    <t>PAINEL RESUMO</t>
  </si>
  <si>
    <t>Custo Médio (30ml)</t>
  </si>
  <si>
    <t>Preço Médio (30ml)</t>
  </si>
  <si>
    <t>Margem (30ml)</t>
  </si>
  <si>
    <t>Custo Médio (50ml)</t>
  </si>
  <si>
    <t>Preço Médio (50ml)</t>
  </si>
  <si>
    <t>Margem (50ml)</t>
  </si>
  <si>
    <t>Libre</t>
  </si>
  <si>
    <t>Aventus</t>
  </si>
  <si>
    <t>Silver scent</t>
  </si>
  <si>
    <t>Myslf</t>
  </si>
  <si>
    <t>Paradoxe</t>
  </si>
  <si>
    <t>Azarro Wanted</t>
  </si>
  <si>
    <t>Symrise</t>
  </si>
  <si>
    <t>Pano</t>
  </si>
  <si>
    <t>Casa</t>
  </si>
  <si>
    <t>Qtd(ml)</t>
  </si>
  <si>
    <t>% ess.</t>
  </si>
  <si>
    <t>prod(ml)</t>
  </si>
  <si>
    <t>God of fire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</si>
</sst>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\R&quot;R$&quot;\ #,##0.00;;&quot;&quot;"/>
    <numFmt numFmtId="165" formatCode="\R&quot;R$&quot;\ #,##0.00"/>
    <numFmt numFmtId="166" formatCode="&quot;R$&quot;\ #,##0.0000"/>
    <numFmt numFmtId="167" formatCode="&quot;R$&quot;\ #,##0.00"/>
    <numFmt numFmtId="168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8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B7472A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44" fontId="0" fillId="0" borderId="0" xfId="1" applyFont="1"/>
    <xf numFmtId="0" fontId="0" fillId="0" borderId="0" xfId="0" applyAlignment="1">
      <alignment horizontal="left"/>
    </xf>
    <xf numFmtId="44" fontId="0" fillId="0" borderId="0" xfId="1" applyFont="1" applyAlignment="1">
      <alignment horizontal="left"/>
    </xf>
    <xf numFmtId="44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3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10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9" fontId="0" fillId="0" borderId="1" xfId="0" applyNumberFormat="1" applyBorder="1" applyAlignment="1">
      <alignment horizontal="left" vertical="center" wrapText="1"/>
    </xf>
    <xf numFmtId="10" fontId="0" fillId="0" borderId="1" xfId="0" applyNumberFormat="1" applyBorder="1" applyAlignment="1">
      <alignment horizontal="left" vertical="center"/>
    </xf>
    <xf numFmtId="9" fontId="0" fillId="0" borderId="1" xfId="0" applyNumberFormat="1" applyBorder="1" applyAlignment="1">
      <alignment horizontal="left" vertical="center"/>
    </xf>
    <xf numFmtId="0" fontId="0" fillId="0" borderId="6" xfId="0" applyBorder="1"/>
    <xf numFmtId="44" fontId="0" fillId="0" borderId="3" xfId="1" applyFont="1" applyBorder="1"/>
    <xf numFmtId="44" fontId="0" fillId="0" borderId="9" xfId="1" applyFont="1" applyFill="1" applyBorder="1"/>
    <xf numFmtId="0" fontId="2" fillId="0" borderId="0" xfId="0" applyFont="1"/>
    <xf numFmtId="0" fontId="2" fillId="0" borderId="9" xfId="0" applyFont="1" applyBorder="1" applyAlignment="1">
      <alignment horizontal="center" vertical="center"/>
    </xf>
    <xf numFmtId="1" fontId="8" fillId="0" borderId="0" xfId="0" applyNumberFormat="1" applyFont="1"/>
    <xf numFmtId="0" fontId="2" fillId="3" borderId="0" xfId="0" applyFont="1" applyFill="1" applyAlignment="1">
      <alignment horizontal="center"/>
    </xf>
    <xf numFmtId="9" fontId="8" fillId="3" borderId="0" xfId="0" applyNumberFormat="1" applyFont="1" applyFill="1" applyAlignment="1">
      <alignment horizontal="center"/>
    </xf>
    <xf numFmtId="166" fontId="7" fillId="0" borderId="8" xfId="0" applyNumberFormat="1" applyFont="1" applyBorder="1"/>
    <xf numFmtId="166" fontId="7" fillId="0" borderId="7" xfId="0" applyNumberFormat="1" applyFont="1" applyBorder="1"/>
    <xf numFmtId="167" fontId="0" fillId="0" borderId="0" xfId="0" applyNumberFormat="1"/>
    <xf numFmtId="167" fontId="2" fillId="0" borderId="0" xfId="0" applyNumberFormat="1" applyFont="1"/>
    <xf numFmtId="166" fontId="2" fillId="0" borderId="0" xfId="0" applyNumberFormat="1" applyFont="1"/>
    <xf numFmtId="167" fontId="0" fillId="0" borderId="1" xfId="0" applyNumberFormat="1" applyBorder="1"/>
    <xf numFmtId="167" fontId="2" fillId="0" borderId="1" xfId="0" applyNumberFormat="1" applyFont="1" applyBorder="1"/>
    <xf numFmtId="9" fontId="0" fillId="0" borderId="1" xfId="0" applyNumberFormat="1" applyBorder="1"/>
    <xf numFmtId="167" fontId="9" fillId="0" borderId="1" xfId="0" applyNumberFormat="1" applyFont="1" applyBorder="1"/>
    <xf numFmtId="167" fontId="2" fillId="4" borderId="0" xfId="0" applyNumberFormat="1" applyFont="1" applyFill="1"/>
    <xf numFmtId="9" fontId="2" fillId="4" borderId="0" xfId="0" applyNumberFormat="1" applyFont="1" applyFill="1"/>
    <xf numFmtId="0" fontId="4" fillId="2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10" fillId="5" borderId="0" xfId="0" applyFont="1" applyFill="1"/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/>
    <xf numFmtId="44" fontId="0" fillId="0" borderId="1" xfId="1" applyFont="1" applyBorder="1"/>
    <xf numFmtId="9" fontId="0" fillId="0" borderId="1" xfId="2" applyFont="1" applyBorder="1"/>
    <xf numFmtId="44" fontId="0" fillId="0" borderId="0" xfId="0" applyNumberFormat="1"/>
    <xf numFmtId="168" fontId="0" fillId="0" borderId="0" xfId="0" applyNumberFormat="1"/>
    <xf numFmtId="1" fontId="0" fillId="0" borderId="0" xfId="0" applyNumberFormat="1"/>
    <xf numFmtId="2" fontId="0" fillId="0" borderId="1" xfId="0" applyNumberFormat="1" applyBorder="1"/>
    <xf numFmtId="9" fontId="0" fillId="0" borderId="0" xfId="2" applyFont="1"/>
    <xf numFmtId="0" fontId="10" fillId="7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10" fillId="8" borderId="2" xfId="0" applyFont="1" applyFill="1" applyBorder="1" applyAlignment="1">
      <alignment horizontal="center"/>
    </xf>
    <xf numFmtId="44" fontId="0" fillId="0" borderId="1" xfId="1" applyFont="1" applyFill="1" applyBorder="1"/>
    <xf numFmtId="9" fontId="0" fillId="0" borderId="1" xfId="2" applyFont="1" applyFill="1" applyBorder="1"/>
    <xf numFmtId="0" fontId="10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6">
    <dxf>
      <fill>
        <patternFill patternType="solid">
          <fgColor indexed="64"/>
          <bgColor rgb="FFF2F2F2"/>
        </patternFill>
      </fill>
    </dxf>
    <dxf>
      <fill>
        <patternFill patternType="solid">
          <fgColor indexed="64"/>
          <bgColor rgb="FFF2F2F2"/>
        </patternFill>
      </fill>
    </dxf>
    <dxf>
      <fill>
        <patternFill patternType="solid">
          <fgColor indexed="64"/>
          <bgColor rgb="FFF2F2F2"/>
        </patternFill>
      </fill>
    </dxf>
    <dxf>
      <fill>
        <patternFill patternType="solid">
          <fgColor indexed="64"/>
          <bgColor rgb="FFF2F2F2"/>
        </patternFill>
      </fill>
    </dxf>
    <dxf>
      <fill>
        <patternFill patternType="solid">
          <fgColor indexed="64"/>
          <bgColor rgb="FFF2F2F2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682A493-D16C-41AF-9177-B8170C238CE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c9cf001-3a57-4286-a28b-7fb3b5b4b0d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O18"/>
  <sheetViews>
    <sheetView topLeftCell="B12" workbookViewId="0">
      <selection activeCell="K18" sqref="K18"/>
    </sheetView>
  </sheetViews>
  <sheetFormatPr defaultRowHeight="15" x14ac:dyDescent="0.25"/>
  <cols>
    <col min="3" max="3" width="10.42578125" bestFit="1" customWidth="1"/>
    <col min="5" max="5" width="10.7109375" bestFit="1" customWidth="1"/>
    <col min="6" max="6" width="14" customWidth="1"/>
    <col min="8" max="8" width="11.42578125" customWidth="1"/>
    <col min="9" max="13" width="11.85546875" customWidth="1"/>
    <col min="14" max="14" width="14.28515625" customWidth="1"/>
    <col min="15" max="15" width="11.85546875" customWidth="1"/>
  </cols>
  <sheetData>
    <row r="4" spans="2:15" ht="15.75" x14ac:dyDescent="0.25">
      <c r="B4" s="2" t="s">
        <v>0</v>
      </c>
      <c r="C4" s="2" t="s">
        <v>4</v>
      </c>
      <c r="D4" s="2" t="s">
        <v>1</v>
      </c>
      <c r="E4" s="2" t="s">
        <v>2</v>
      </c>
      <c r="F4" s="2" t="s">
        <v>3</v>
      </c>
      <c r="H4" s="5" t="s">
        <v>11</v>
      </c>
    </row>
    <row r="5" spans="2:15" x14ac:dyDescent="0.25">
      <c r="B5" t="s">
        <v>8</v>
      </c>
      <c r="C5" s="2" t="s">
        <v>6</v>
      </c>
      <c r="D5" s="2">
        <v>10</v>
      </c>
      <c r="E5" s="1">
        <v>29</v>
      </c>
      <c r="F5" s="4">
        <f t="shared" ref="F5:F18" si="0">E5/D5</f>
        <v>2.9</v>
      </c>
      <c r="H5" s="6" t="s">
        <v>12</v>
      </c>
      <c r="I5" s="6" t="s">
        <v>8</v>
      </c>
      <c r="J5" s="6" t="s">
        <v>5</v>
      </c>
      <c r="K5" s="6" t="s">
        <v>9</v>
      </c>
      <c r="L5" s="6" t="s">
        <v>10</v>
      </c>
      <c r="M5" s="6" t="s">
        <v>7</v>
      </c>
      <c r="N5" s="6" t="s">
        <v>13</v>
      </c>
      <c r="O5" s="6" t="s">
        <v>14</v>
      </c>
    </row>
    <row r="6" spans="2:15" x14ac:dyDescent="0.25">
      <c r="B6" s="2" t="s">
        <v>5</v>
      </c>
      <c r="C6" s="2" t="s">
        <v>6</v>
      </c>
      <c r="D6" s="2">
        <v>10</v>
      </c>
      <c r="E6" s="3">
        <v>22</v>
      </c>
      <c r="F6" s="4">
        <f t="shared" si="0"/>
        <v>2.2000000000000002</v>
      </c>
      <c r="H6" s="7">
        <v>10</v>
      </c>
      <c r="I6" s="8">
        <f>IFERROR(SUMIFS($E$5:$E$18,$B$5:$B$18,I$5,$D$5:$D$18,$H6)/SUMIFS($D$5:$D$18,$B$5:$B$18,I$5,$D$5:$D$18,$H6),"")</f>
        <v>2.9</v>
      </c>
      <c r="J6" s="8">
        <f t="shared" ref="J6:M10" si="1">IFERROR(SUMIFS($E$5:$E$18,$B$5:$B$18,J$5,$D$5:$D$18,$H6)/SUMIFS($D$5:$D$18,$B$5:$B$18,J$5,$D$5:$D$18,$H6),"")</f>
        <v>2.2000000000000002</v>
      </c>
      <c r="K6" s="8">
        <f t="shared" si="1"/>
        <v>3</v>
      </c>
      <c r="L6" s="8">
        <f t="shared" si="1"/>
        <v>2.4899999999999998</v>
      </c>
      <c r="M6" s="8" t="str">
        <f t="shared" si="1"/>
        <v/>
      </c>
      <c r="N6" s="9" t="str">
        <f>INDEX($I$5:$M$5,MATCH(MIN($I6:$M6),$I6:$M6,0))</f>
        <v>neuro</v>
      </c>
      <c r="O6" s="10">
        <f>MIN($I6:$M6)</f>
        <v>2.2000000000000002</v>
      </c>
    </row>
    <row r="7" spans="2:15" x14ac:dyDescent="0.25">
      <c r="B7" t="s">
        <v>9</v>
      </c>
      <c r="C7" s="2" t="s">
        <v>6</v>
      </c>
      <c r="D7" s="2">
        <v>10</v>
      </c>
      <c r="E7" s="1">
        <v>30</v>
      </c>
      <c r="F7" s="4">
        <f t="shared" si="0"/>
        <v>3</v>
      </c>
      <c r="H7" s="7">
        <v>20</v>
      </c>
      <c r="I7" s="8" t="str">
        <f t="shared" ref="I7:I10" si="2">IFERROR(SUMIFS($E$5:$E$18,$B$5:$B$18,I$5,$D$5:$D$18,$H7)/SUMIFS($D$5:$D$18,$B$5:$B$18,I$5,$D$5:$D$18,$H7),"")</f>
        <v/>
      </c>
      <c r="J7" s="8" t="str">
        <f t="shared" si="1"/>
        <v/>
      </c>
      <c r="K7" s="8" t="str">
        <f t="shared" si="1"/>
        <v/>
      </c>
      <c r="L7" s="8" t="str">
        <f t="shared" si="1"/>
        <v/>
      </c>
      <c r="M7" s="8">
        <f t="shared" si="1"/>
        <v>1.4345000000000001</v>
      </c>
      <c r="N7" s="9" t="str">
        <f t="shared" ref="N7:N10" si="3">INDEX($I$5:$M$5,MATCH(MIN($I7:$M7),$I7:$M7,0))</f>
        <v>vaporo</v>
      </c>
      <c r="O7" s="10">
        <f t="shared" ref="O7:O10" si="4">MIN($I7:$M7)</f>
        <v>1.4345000000000001</v>
      </c>
    </row>
    <row r="8" spans="2:15" x14ac:dyDescent="0.25">
      <c r="B8" t="s">
        <v>10</v>
      </c>
      <c r="C8" s="2" t="s">
        <v>6</v>
      </c>
      <c r="D8" s="2">
        <v>10</v>
      </c>
      <c r="E8" s="1">
        <v>24.9</v>
      </c>
      <c r="F8" s="4">
        <f t="shared" si="0"/>
        <v>2.4899999999999998</v>
      </c>
      <c r="H8" s="7">
        <v>30</v>
      </c>
      <c r="I8" s="8" t="str">
        <f t="shared" si="2"/>
        <v/>
      </c>
      <c r="J8" s="8">
        <f t="shared" si="1"/>
        <v>1.7333333333333334</v>
      </c>
      <c r="K8" s="8" t="str">
        <f t="shared" si="1"/>
        <v/>
      </c>
      <c r="L8" s="8" t="str">
        <f t="shared" si="1"/>
        <v/>
      </c>
      <c r="M8" s="8" t="str">
        <f t="shared" si="1"/>
        <v/>
      </c>
      <c r="N8" s="9" t="str">
        <f t="shared" si="3"/>
        <v>neuro</v>
      </c>
      <c r="O8" s="10">
        <f t="shared" si="4"/>
        <v>1.7333333333333334</v>
      </c>
    </row>
    <row r="9" spans="2:15" x14ac:dyDescent="0.25">
      <c r="B9" t="s">
        <v>7</v>
      </c>
      <c r="C9" s="2" t="s">
        <v>6</v>
      </c>
      <c r="D9" s="2">
        <v>20</v>
      </c>
      <c r="E9" s="1">
        <v>28.69</v>
      </c>
      <c r="F9" s="4">
        <f t="shared" si="0"/>
        <v>1.4345000000000001</v>
      </c>
      <c r="H9" s="7">
        <v>50</v>
      </c>
      <c r="I9" s="8" t="str">
        <f t="shared" si="2"/>
        <v/>
      </c>
      <c r="J9" s="8">
        <f t="shared" si="1"/>
        <v>1.5397999999999998</v>
      </c>
      <c r="K9" s="8">
        <f t="shared" si="1"/>
        <v>1.28</v>
      </c>
      <c r="L9" s="8">
        <f t="shared" si="1"/>
        <v>2.4</v>
      </c>
      <c r="M9" s="8">
        <f t="shared" si="1"/>
        <v>1.2962</v>
      </c>
      <c r="N9" s="9" t="str">
        <f t="shared" si="3"/>
        <v>pano</v>
      </c>
      <c r="O9" s="10">
        <f t="shared" si="4"/>
        <v>1.28</v>
      </c>
    </row>
    <row r="10" spans="2:15" x14ac:dyDescent="0.25">
      <c r="B10" s="2" t="s">
        <v>5</v>
      </c>
      <c r="C10" s="2" t="s">
        <v>6</v>
      </c>
      <c r="D10" s="2">
        <v>30</v>
      </c>
      <c r="E10" s="3">
        <v>52</v>
      </c>
      <c r="F10" s="4">
        <f t="shared" si="0"/>
        <v>1.7333333333333334</v>
      </c>
      <c r="H10" s="7">
        <v>100</v>
      </c>
      <c r="I10" s="8">
        <f t="shared" si="2"/>
        <v>1.57</v>
      </c>
      <c r="J10" s="8">
        <f t="shared" si="1"/>
        <v>1.3599000000000001</v>
      </c>
      <c r="K10" s="8" t="str">
        <f t="shared" si="1"/>
        <v/>
      </c>
      <c r="L10" s="8">
        <f t="shared" si="1"/>
        <v>2.35</v>
      </c>
      <c r="M10" s="8">
        <f t="shared" si="1"/>
        <v>1.0548</v>
      </c>
      <c r="N10" s="9" t="str">
        <f t="shared" si="3"/>
        <v>vaporo</v>
      </c>
      <c r="O10" s="10">
        <f t="shared" si="4"/>
        <v>1.0548</v>
      </c>
    </row>
    <row r="11" spans="2:15" x14ac:dyDescent="0.25">
      <c r="B11" s="2" t="s">
        <v>5</v>
      </c>
      <c r="C11" s="2" t="s">
        <v>6</v>
      </c>
      <c r="D11" s="2">
        <v>50</v>
      </c>
      <c r="E11" s="3">
        <v>76.989999999999995</v>
      </c>
      <c r="F11" s="4">
        <f t="shared" si="0"/>
        <v>1.5397999999999998</v>
      </c>
    </row>
    <row r="12" spans="2:15" ht="15.75" x14ac:dyDescent="0.25">
      <c r="B12" t="s">
        <v>9</v>
      </c>
      <c r="C12" s="2" t="s">
        <v>6</v>
      </c>
      <c r="D12" s="2">
        <v>50</v>
      </c>
      <c r="E12" s="1">
        <v>64</v>
      </c>
      <c r="F12" s="4">
        <f t="shared" si="0"/>
        <v>1.28</v>
      </c>
      <c r="H12" s="11" t="s">
        <v>15</v>
      </c>
    </row>
    <row r="13" spans="2:15" x14ac:dyDescent="0.25">
      <c r="B13" t="s">
        <v>7</v>
      </c>
      <c r="C13" s="2" t="s">
        <v>6</v>
      </c>
      <c r="D13" s="2">
        <v>50</v>
      </c>
      <c r="E13" s="1">
        <v>64.81</v>
      </c>
      <c r="F13" s="4">
        <f t="shared" si="0"/>
        <v>1.2962</v>
      </c>
      <c r="H13" s="12" t="str">
        <f>"Menor preço/ml geral: "&amp;INDEX(N6:N10,MATCH(MIN(O6:O10),O6:O10,0))&amp;" no frasco de "&amp;INDEX(H6:H10,MATCH(MIN(O6:O10),O6:O10,0))&amp;" ml (R$ "&amp;TEXT(MIN(O6:O10),"0,00")&amp;"/ml)"</f>
        <v>Menor preço/ml geral: vaporo no frasco de 100 ml (R$ 1,05/ml)</v>
      </c>
    </row>
    <row r="14" spans="2:15" x14ac:dyDescent="0.25">
      <c r="B14" t="s">
        <v>10</v>
      </c>
      <c r="C14" s="2" t="s">
        <v>6</v>
      </c>
      <c r="D14" s="2">
        <v>50</v>
      </c>
      <c r="E14" s="1">
        <v>120</v>
      </c>
      <c r="F14" s="4">
        <f t="shared" si="0"/>
        <v>2.4</v>
      </c>
      <c r="H14" s="13" t="s">
        <v>16</v>
      </c>
    </row>
    <row r="15" spans="2:15" x14ac:dyDescent="0.25">
      <c r="B15" t="s">
        <v>7</v>
      </c>
      <c r="C15" s="2" t="s">
        <v>6</v>
      </c>
      <c r="D15" s="2">
        <v>100</v>
      </c>
      <c r="E15" s="1">
        <v>105.48</v>
      </c>
      <c r="F15" s="4">
        <f t="shared" si="0"/>
        <v>1.0548</v>
      </c>
    </row>
    <row r="16" spans="2:15" x14ac:dyDescent="0.25">
      <c r="B16" s="2" t="s">
        <v>5</v>
      </c>
      <c r="C16" s="2" t="s">
        <v>6</v>
      </c>
      <c r="D16" s="2">
        <v>100</v>
      </c>
      <c r="E16" s="3">
        <v>135.99</v>
      </c>
      <c r="F16" s="4">
        <f t="shared" si="0"/>
        <v>1.3599000000000001</v>
      </c>
    </row>
    <row r="17" spans="2:6" x14ac:dyDescent="0.25">
      <c r="B17" t="s">
        <v>8</v>
      </c>
      <c r="C17" s="2" t="s">
        <v>6</v>
      </c>
      <c r="D17" s="2">
        <v>100</v>
      </c>
      <c r="E17" s="1">
        <v>157</v>
      </c>
      <c r="F17" s="4">
        <f t="shared" si="0"/>
        <v>1.57</v>
      </c>
    </row>
    <row r="18" spans="2:6" x14ac:dyDescent="0.25">
      <c r="B18" t="s">
        <v>10</v>
      </c>
      <c r="C18" s="2" t="s">
        <v>6</v>
      </c>
      <c r="D18" s="2">
        <v>100</v>
      </c>
      <c r="E18" s="1">
        <v>235</v>
      </c>
      <c r="F18" s="4">
        <f t="shared" si="0"/>
        <v>2.35</v>
      </c>
    </row>
  </sheetData>
  <autoFilter ref="B4:F18" xr:uid="{00000000-0001-0000-0000-000000000000}">
    <sortState xmlns:xlrd2="http://schemas.microsoft.com/office/spreadsheetml/2017/richdata2" ref="B5:F18">
      <sortCondition ref="D4:D18"/>
    </sortState>
  </autoFilter>
  <sortState xmlns:xlrd2="http://schemas.microsoft.com/office/spreadsheetml/2017/richdata2" ref="B5:F15">
    <sortCondition ref="B4:B15"/>
  </sortState>
  <conditionalFormatting sqref="I6:M10">
    <cfRule type="expression" dxfId="5" priority="1">
      <formula>AND(ISNUMBER(I6),I6=$O6)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B6635-495B-4247-BD48-AE37657F780A}">
  <dimension ref="B1:M53"/>
  <sheetViews>
    <sheetView tabSelected="1" topLeftCell="A21" zoomScaleNormal="100" workbookViewId="0">
      <selection activeCell="K27" sqref="K27"/>
    </sheetView>
  </sheetViews>
  <sheetFormatPr defaultRowHeight="15" x14ac:dyDescent="0.25"/>
  <cols>
    <col min="2" max="2" width="20.28515625" bestFit="1" customWidth="1"/>
    <col min="3" max="3" width="13.140625" bestFit="1" customWidth="1"/>
    <col min="4" max="4" width="10.7109375" bestFit="1" customWidth="1"/>
    <col min="5" max="5" width="18" bestFit="1" customWidth="1"/>
    <col min="6" max="6" width="20.28515625" bestFit="1" customWidth="1"/>
    <col min="7" max="7" width="20.5703125" bestFit="1" customWidth="1"/>
    <col min="8" max="8" width="27.85546875" bestFit="1" customWidth="1"/>
    <col min="9" max="9" width="16.140625" bestFit="1" customWidth="1"/>
    <col min="10" max="10" width="21.7109375" bestFit="1" customWidth="1"/>
    <col min="11" max="11" width="13.85546875" bestFit="1" customWidth="1"/>
    <col min="12" max="12" width="22.85546875" bestFit="1" customWidth="1"/>
    <col min="13" max="13" width="4.5703125" bestFit="1" customWidth="1"/>
    <col min="14" max="14" width="18.7109375" bestFit="1" customWidth="1"/>
    <col min="15" max="15" width="8.42578125" bestFit="1" customWidth="1"/>
  </cols>
  <sheetData>
    <row r="1" spans="2:13" ht="21.95" customHeight="1" x14ac:dyDescent="0.3"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</row>
    <row r="3" spans="2:13" x14ac:dyDescent="0.25">
      <c r="B3" s="43" t="s">
        <v>45</v>
      </c>
      <c r="C3" s="43" t="s">
        <v>74</v>
      </c>
      <c r="D3" s="44" t="s">
        <v>75</v>
      </c>
      <c r="E3" s="45" t="s">
        <v>92</v>
      </c>
      <c r="H3" s="6" t="s">
        <v>107</v>
      </c>
      <c r="I3" s="6"/>
    </row>
    <row r="4" spans="2:13" x14ac:dyDescent="0.25">
      <c r="B4" s="17" t="s">
        <v>43</v>
      </c>
      <c r="C4" s="17">
        <v>100</v>
      </c>
      <c r="D4" s="25">
        <v>37.49</v>
      </c>
      <c r="E4" s="32">
        <f t="shared" ref="E4:E12" si="0">D4/C4</f>
        <v>0.37490000000000001</v>
      </c>
      <c r="H4" s="27" t="s">
        <v>108</v>
      </c>
      <c r="I4" s="41">
        <f>AVERAGE(J37:J43)</f>
        <v>20.923283057142857</v>
      </c>
    </row>
    <row r="5" spans="2:13" x14ac:dyDescent="0.25">
      <c r="B5" s="17" t="s">
        <v>32</v>
      </c>
      <c r="C5" s="17">
        <v>100</v>
      </c>
      <c r="D5" s="25">
        <v>21.13</v>
      </c>
      <c r="E5" s="32">
        <f t="shared" si="0"/>
        <v>0.21129999999999999</v>
      </c>
      <c r="H5" s="27" t="s">
        <v>109</v>
      </c>
      <c r="I5" s="41">
        <f>AVERAGE(L37:L43)</f>
        <v>69.744276857142836</v>
      </c>
    </row>
    <row r="6" spans="2:13" x14ac:dyDescent="0.25">
      <c r="B6" s="17" t="s">
        <v>19</v>
      </c>
      <c r="C6" s="17">
        <v>100</v>
      </c>
      <c r="D6" s="25">
        <v>68.48</v>
      </c>
      <c r="E6" s="32">
        <f t="shared" si="0"/>
        <v>0.68480000000000008</v>
      </c>
      <c r="H6" s="27" t="s">
        <v>110</v>
      </c>
      <c r="I6" s="42">
        <f>M24</f>
        <v>0.7</v>
      </c>
    </row>
    <row r="7" spans="2:13" x14ac:dyDescent="0.25">
      <c r="B7" s="17" t="s">
        <v>33</v>
      </c>
      <c r="C7" s="17">
        <v>100</v>
      </c>
      <c r="D7" s="25">
        <v>28.09</v>
      </c>
      <c r="E7" s="32">
        <f t="shared" si="0"/>
        <v>0.28089999999999998</v>
      </c>
      <c r="H7" s="27" t="s">
        <v>111</v>
      </c>
      <c r="I7" s="41">
        <f>AVERAGE(J47:J53)</f>
        <v>24.872138428571425</v>
      </c>
    </row>
    <row r="8" spans="2:13" x14ac:dyDescent="0.25">
      <c r="B8" s="17" t="s">
        <v>44</v>
      </c>
      <c r="C8" s="17">
        <v>100</v>
      </c>
      <c r="D8" s="25">
        <v>22.95</v>
      </c>
      <c r="E8" s="32">
        <f t="shared" si="0"/>
        <v>0.22949999999999998</v>
      </c>
      <c r="H8" s="27" t="s">
        <v>112</v>
      </c>
      <c r="I8" s="41">
        <f>AVERAGE(L47:L53)</f>
        <v>82.907128095238065</v>
      </c>
    </row>
    <row r="9" spans="2:13" x14ac:dyDescent="0.25">
      <c r="B9" s="17" t="s">
        <v>76</v>
      </c>
      <c r="C9" s="17">
        <v>100</v>
      </c>
      <c r="D9" s="25">
        <v>70</v>
      </c>
      <c r="E9" s="32">
        <f t="shared" si="0"/>
        <v>0.7</v>
      </c>
      <c r="H9" s="27" t="s">
        <v>113</v>
      </c>
      <c r="I9" s="42">
        <f>M25</f>
        <v>0.7</v>
      </c>
    </row>
    <row r="10" spans="2:13" x14ac:dyDescent="0.25">
      <c r="B10" s="17" t="s">
        <v>77</v>
      </c>
      <c r="C10" s="17">
        <v>1000</v>
      </c>
      <c r="D10" s="25">
        <v>18</v>
      </c>
      <c r="E10" s="32">
        <f t="shared" si="0"/>
        <v>1.7999999999999999E-2</v>
      </c>
    </row>
    <row r="11" spans="2:13" x14ac:dyDescent="0.25">
      <c r="B11" s="24" t="s">
        <v>90</v>
      </c>
      <c r="C11" s="24">
        <v>1000</v>
      </c>
      <c r="D11" s="26">
        <v>5</v>
      </c>
      <c r="E11" s="32">
        <f t="shared" si="0"/>
        <v>5.0000000000000001E-3</v>
      </c>
    </row>
    <row r="12" spans="2:13" x14ac:dyDescent="0.25">
      <c r="B12" s="17" t="s">
        <v>78</v>
      </c>
      <c r="C12" s="17">
        <v>1</v>
      </c>
      <c r="D12" s="25">
        <v>15</v>
      </c>
      <c r="E12" s="33">
        <f t="shared" si="0"/>
        <v>15</v>
      </c>
    </row>
    <row r="24" spans="2:13" x14ac:dyDescent="0.25">
      <c r="J24" s="48" t="s">
        <v>93</v>
      </c>
      <c r="K24" s="49"/>
      <c r="L24" s="30" t="s">
        <v>105</v>
      </c>
      <c r="M24" s="31">
        <v>0.7</v>
      </c>
    </row>
    <row r="25" spans="2:13" x14ac:dyDescent="0.25">
      <c r="B25" s="68" t="s">
        <v>79</v>
      </c>
      <c r="C25" s="69"/>
      <c r="D25" s="69"/>
      <c r="F25" s="70" t="s">
        <v>91</v>
      </c>
      <c r="G25" s="69"/>
      <c r="H25" s="69"/>
      <c r="J25" s="28" t="s">
        <v>94</v>
      </c>
      <c r="K25" s="29">
        <v>1000</v>
      </c>
      <c r="L25" s="30" t="s">
        <v>106</v>
      </c>
      <c r="M25" s="31">
        <v>0.7</v>
      </c>
    </row>
    <row r="26" spans="2:13" x14ac:dyDescent="0.25">
      <c r="B26" s="46" t="s">
        <v>45</v>
      </c>
      <c r="C26" s="46" t="s">
        <v>36</v>
      </c>
      <c r="D26" s="46" t="s">
        <v>46</v>
      </c>
      <c r="F26" s="47" t="s">
        <v>56</v>
      </c>
      <c r="G26" s="47" t="s">
        <v>66</v>
      </c>
      <c r="H26" s="47" t="s">
        <v>67</v>
      </c>
      <c r="J26" s="6" t="s">
        <v>45</v>
      </c>
      <c r="K26" s="6" t="s">
        <v>95</v>
      </c>
    </row>
    <row r="27" spans="2:13" x14ac:dyDescent="0.25">
      <c r="B27" s="20" t="s">
        <v>47</v>
      </c>
      <c r="C27" s="21">
        <v>0.9</v>
      </c>
      <c r="D27" s="20" t="s">
        <v>48</v>
      </c>
      <c r="F27" s="18" t="s">
        <v>59</v>
      </c>
      <c r="G27" s="18" t="s">
        <v>68</v>
      </c>
      <c r="H27" s="22">
        <v>2.5000000000000001E-3</v>
      </c>
      <c r="J27" t="str">
        <f t="shared" ref="J27:J32" si="1">B27</f>
        <v>Álcool</v>
      </c>
      <c r="K27" s="34">
        <f>C27*$K$25*$E$10</f>
        <v>16.2</v>
      </c>
    </row>
    <row r="28" spans="2:13" x14ac:dyDescent="0.25">
      <c r="B28" s="20" t="s">
        <v>49</v>
      </c>
      <c r="C28" s="21">
        <v>0.05</v>
      </c>
      <c r="D28" s="20" t="s">
        <v>50</v>
      </c>
      <c r="F28" s="18" t="s">
        <v>61</v>
      </c>
      <c r="G28" s="18" t="s">
        <v>69</v>
      </c>
      <c r="H28" s="22">
        <v>2E-3</v>
      </c>
      <c r="J28" t="str">
        <f t="shared" si="1"/>
        <v>Água deionizada</v>
      </c>
      <c r="K28" s="34">
        <f>C28*$K$25*$E$11</f>
        <v>0.25</v>
      </c>
    </row>
    <row r="29" spans="2:13" x14ac:dyDescent="0.25">
      <c r="B29" s="20" t="s">
        <v>30</v>
      </c>
      <c r="C29" s="21">
        <v>0.02</v>
      </c>
      <c r="D29" s="20" t="s">
        <v>51</v>
      </c>
      <c r="F29" s="18" t="s">
        <v>64</v>
      </c>
      <c r="G29" s="18" t="s">
        <v>70</v>
      </c>
      <c r="H29" s="22">
        <v>1.8E-3</v>
      </c>
      <c r="J29" t="str">
        <f t="shared" si="1"/>
        <v>Propilenoglicol</v>
      </c>
      <c r="K29" s="34">
        <f>C29*$K$25*$E$8</f>
        <v>4.59</v>
      </c>
    </row>
    <row r="30" spans="2:13" x14ac:dyDescent="0.25">
      <c r="B30" s="20" t="s">
        <v>52</v>
      </c>
      <c r="C30" s="19">
        <v>1.4999999999999999E-2</v>
      </c>
      <c r="D30" s="20" t="s">
        <v>53</v>
      </c>
      <c r="F30" s="18" t="s">
        <v>62</v>
      </c>
      <c r="G30" s="18" t="s">
        <v>71</v>
      </c>
      <c r="H30" s="22">
        <v>4.4999999999999997E-3</v>
      </c>
      <c r="J30" t="str">
        <f t="shared" si="1"/>
        <v>Iso E Super</v>
      </c>
      <c r="K30" s="34">
        <f>C30*$K$25*$E$4</f>
        <v>5.6234999999999999</v>
      </c>
    </row>
    <row r="31" spans="2:13" x14ac:dyDescent="0.25">
      <c r="B31" s="20" t="s">
        <v>19</v>
      </c>
      <c r="C31" s="21">
        <v>0.01</v>
      </c>
      <c r="D31" s="20" t="s">
        <v>54</v>
      </c>
      <c r="F31" s="18" t="s">
        <v>60</v>
      </c>
      <c r="G31" s="18" t="s">
        <v>71</v>
      </c>
      <c r="H31" s="22">
        <v>5.0000000000000001E-3</v>
      </c>
      <c r="J31" t="str">
        <f t="shared" si="1"/>
        <v>Ambroxan 10%</v>
      </c>
      <c r="K31" s="34">
        <f>C31*$K$25*$E$6</f>
        <v>6.8480000000000008</v>
      </c>
    </row>
    <row r="32" spans="2:13" x14ac:dyDescent="0.25">
      <c r="B32" s="20" t="s">
        <v>32</v>
      </c>
      <c r="C32" s="19">
        <v>5.0000000000000001E-3</v>
      </c>
      <c r="D32" s="20" t="s">
        <v>55</v>
      </c>
      <c r="F32" s="18" t="s">
        <v>63</v>
      </c>
      <c r="G32" s="18" t="s">
        <v>72</v>
      </c>
      <c r="H32" s="22">
        <v>1.1999999999999999E-3</v>
      </c>
      <c r="J32" t="str">
        <f t="shared" si="1"/>
        <v>Galaxolide</v>
      </c>
      <c r="K32" s="34">
        <f>C32*$K$25*$E$5</f>
        <v>1.0565</v>
      </c>
    </row>
    <row r="33" spans="2:12" x14ac:dyDescent="0.25">
      <c r="F33" s="18" t="s">
        <v>65</v>
      </c>
      <c r="G33" s="18" t="s">
        <v>73</v>
      </c>
      <c r="H33" s="22">
        <v>2.8E-3</v>
      </c>
      <c r="J33" s="27" t="s">
        <v>96</v>
      </c>
      <c r="K33" s="35">
        <f>SUM(K27:K32)</f>
        <v>34.567999999999998</v>
      </c>
    </row>
    <row r="34" spans="2:12" x14ac:dyDescent="0.25">
      <c r="J34" s="27" t="s">
        <v>97</v>
      </c>
      <c r="K34" s="36">
        <f>K33/K25</f>
        <v>3.4567999999999995E-2</v>
      </c>
    </row>
    <row r="35" spans="2:12" ht="15" customHeight="1" x14ac:dyDescent="0.25">
      <c r="B35" s="61" t="s">
        <v>88</v>
      </c>
      <c r="C35" s="62"/>
      <c r="D35" s="62"/>
      <c r="E35" s="63"/>
    </row>
    <row r="36" spans="2:12" x14ac:dyDescent="0.25">
      <c r="B36" s="50" t="s">
        <v>56</v>
      </c>
      <c r="C36" s="50" t="s">
        <v>57</v>
      </c>
      <c r="D36" s="50" t="s">
        <v>80</v>
      </c>
      <c r="E36" s="50" t="s">
        <v>58</v>
      </c>
      <c r="F36" s="50" t="s">
        <v>98</v>
      </c>
      <c r="G36" s="50" t="s">
        <v>99</v>
      </c>
      <c r="H36" s="50" t="s">
        <v>100</v>
      </c>
      <c r="I36" s="50" t="s">
        <v>101</v>
      </c>
      <c r="J36" s="50" t="s">
        <v>102</v>
      </c>
      <c r="K36" s="50" t="s">
        <v>103</v>
      </c>
      <c r="L36" s="50" t="s">
        <v>104</v>
      </c>
    </row>
    <row r="37" spans="2:12" x14ac:dyDescent="0.25">
      <c r="B37" s="18" t="s">
        <v>59</v>
      </c>
      <c r="C37" s="22">
        <v>0.23499999999999999</v>
      </c>
      <c r="D37" s="18" t="s">
        <v>81</v>
      </c>
      <c r="E37" s="18" t="s">
        <v>82</v>
      </c>
      <c r="F37" s="37">
        <f>C37*30*$E$9</f>
        <v>4.9349999999999996</v>
      </c>
      <c r="G37" s="37">
        <f>INDEX($H$27:$H$33,MATCH(B37,$F$27:$F$33,0))*30*$E$7</f>
        <v>2.1067499999999999E-2</v>
      </c>
      <c r="H37" s="37">
        <f>(1-C37)*30*$K$34</f>
        <v>0.79333559999999981</v>
      </c>
      <c r="I37" s="37">
        <f>$E$12</f>
        <v>15</v>
      </c>
      <c r="J37" s="38">
        <f>SUM(F37:I37)</f>
        <v>20.749403099999999</v>
      </c>
      <c r="K37" s="39">
        <f>$M$24</f>
        <v>0.7</v>
      </c>
      <c r="L37" s="40">
        <f>J37/(1-K37)</f>
        <v>69.164676999999983</v>
      </c>
    </row>
    <row r="38" spans="2:12" x14ac:dyDescent="0.25">
      <c r="B38" s="18" t="s">
        <v>60</v>
      </c>
      <c r="C38" s="22">
        <v>0.23499999999999999</v>
      </c>
      <c r="D38" s="18" t="s">
        <v>81</v>
      </c>
      <c r="E38" s="18" t="s">
        <v>82</v>
      </c>
      <c r="F38" s="37">
        <f t="shared" ref="F38:F43" si="2">C38*30*$E$9</f>
        <v>4.9349999999999996</v>
      </c>
      <c r="G38" s="37">
        <f>INDEX($H$27:$H$33,MATCH(B38,$F$27:$F$33,0))*30*$E$7</f>
        <v>4.2134999999999999E-2</v>
      </c>
      <c r="H38" s="37">
        <f>(1-C38)*30*$K$34</f>
        <v>0.79333559999999981</v>
      </c>
      <c r="I38" s="37">
        <f t="shared" ref="I38:I43" si="3">$E$12</f>
        <v>15</v>
      </c>
      <c r="J38" s="38">
        <f t="shared" ref="J38:J43" si="4">SUM(F38:I38)</f>
        <v>20.770470599999999</v>
      </c>
      <c r="K38" s="39">
        <f>$M$24</f>
        <v>0.7</v>
      </c>
      <c r="L38" s="40">
        <f t="shared" ref="L38:L43" si="5">J38/(1-K38)</f>
        <v>69.234901999999991</v>
      </c>
    </row>
    <row r="39" spans="2:12" x14ac:dyDescent="0.25">
      <c r="B39" s="18" t="s">
        <v>61</v>
      </c>
      <c r="C39" s="22">
        <v>0.23499999999999999</v>
      </c>
      <c r="D39" s="18" t="s">
        <v>81</v>
      </c>
      <c r="E39" s="18" t="s">
        <v>82</v>
      </c>
      <c r="F39" s="37">
        <f t="shared" si="2"/>
        <v>4.9349999999999996</v>
      </c>
      <c r="G39" s="37">
        <f>INDEX($H$27:$H$33,MATCH(B39,$F$27:$F$33,0))*30*$E$7</f>
        <v>1.6853999999999997E-2</v>
      </c>
      <c r="H39" s="37">
        <f>(1-C39)*30*$K$34</f>
        <v>0.79333559999999981</v>
      </c>
      <c r="I39" s="37">
        <f t="shared" si="3"/>
        <v>15</v>
      </c>
      <c r="J39" s="38">
        <f t="shared" si="4"/>
        <v>20.7451896</v>
      </c>
      <c r="K39" s="39">
        <f>$M$24</f>
        <v>0.7</v>
      </c>
      <c r="L39" s="40">
        <f t="shared" si="5"/>
        <v>69.150631999999987</v>
      </c>
    </row>
    <row r="40" spans="2:12" x14ac:dyDescent="0.25">
      <c r="B40" s="18" t="s">
        <v>62</v>
      </c>
      <c r="C40" s="23">
        <v>0.25</v>
      </c>
      <c r="D40" s="18" t="s">
        <v>83</v>
      </c>
      <c r="E40" s="18" t="s">
        <v>84</v>
      </c>
      <c r="F40" s="37">
        <f t="shared" si="2"/>
        <v>5.25</v>
      </c>
      <c r="G40" s="37">
        <f>INDEX($H$27:$H$33,MATCH(B40,$F$27:$F$33,0))*30*$E$7</f>
        <v>3.792149999999999E-2</v>
      </c>
      <c r="H40" s="37">
        <f>(1-C40)*30*$K$34</f>
        <v>0.77777999999999992</v>
      </c>
      <c r="I40" s="37">
        <f t="shared" si="3"/>
        <v>15</v>
      </c>
      <c r="J40" s="38">
        <f t="shared" si="4"/>
        <v>21.065701499999999</v>
      </c>
      <c r="K40" s="39">
        <f>$M$24</f>
        <v>0.7</v>
      </c>
      <c r="L40" s="40">
        <f t="shared" si="5"/>
        <v>70.219004999999981</v>
      </c>
    </row>
    <row r="41" spans="2:12" x14ac:dyDescent="0.25">
      <c r="B41" s="18" t="s">
        <v>63</v>
      </c>
      <c r="C41" s="23">
        <v>0.25</v>
      </c>
      <c r="D41" s="18" t="s">
        <v>83</v>
      </c>
      <c r="E41" s="18" t="s">
        <v>84</v>
      </c>
      <c r="F41" s="37">
        <f t="shared" si="2"/>
        <v>5.25</v>
      </c>
      <c r="G41" s="37">
        <f>INDEX($H$27:$H$33,MATCH(B41,$F$27:$F$33,0))*30*$E$7</f>
        <v>1.0112399999999999E-2</v>
      </c>
      <c r="H41" s="37">
        <f>(1-C41)*30*$K$34</f>
        <v>0.77777999999999992</v>
      </c>
      <c r="I41" s="37">
        <f t="shared" si="3"/>
        <v>15</v>
      </c>
      <c r="J41" s="38">
        <f t="shared" si="4"/>
        <v>21.0378924</v>
      </c>
      <c r="K41" s="39">
        <f>$M$24</f>
        <v>0.7</v>
      </c>
      <c r="L41" s="40">
        <f t="shared" si="5"/>
        <v>70.126307999999995</v>
      </c>
    </row>
    <row r="42" spans="2:12" x14ac:dyDescent="0.25">
      <c r="B42" s="18" t="s">
        <v>64</v>
      </c>
      <c r="C42" s="23">
        <v>0.25</v>
      </c>
      <c r="D42" s="18" t="s">
        <v>83</v>
      </c>
      <c r="E42" s="18" t="s">
        <v>84</v>
      </c>
      <c r="F42" s="37">
        <f t="shared" si="2"/>
        <v>5.25</v>
      </c>
      <c r="G42" s="37">
        <f>INDEX($H$27:$H$33,MATCH(B42,$F$27:$F$33,0))*30*$E$7</f>
        <v>1.5168599999999999E-2</v>
      </c>
      <c r="H42" s="37">
        <f>(1-C42)*30*$K$34</f>
        <v>0.77777999999999992</v>
      </c>
      <c r="I42" s="37">
        <f t="shared" si="3"/>
        <v>15</v>
      </c>
      <c r="J42" s="38">
        <f t="shared" si="4"/>
        <v>21.042948599999999</v>
      </c>
      <c r="K42" s="39">
        <f>$M$24</f>
        <v>0.7</v>
      </c>
      <c r="L42" s="40">
        <f t="shared" si="5"/>
        <v>70.14316199999999</v>
      </c>
    </row>
    <row r="43" spans="2:12" x14ac:dyDescent="0.25">
      <c r="B43" s="18" t="s">
        <v>65</v>
      </c>
      <c r="C43" s="23">
        <v>0.25</v>
      </c>
      <c r="D43" s="18" t="s">
        <v>83</v>
      </c>
      <c r="E43" s="18" t="s">
        <v>84</v>
      </c>
      <c r="F43" s="37">
        <f t="shared" si="2"/>
        <v>5.25</v>
      </c>
      <c r="G43" s="37">
        <f>INDEX($H$27:$H$33,MATCH(B43,$F$27:$F$33,0))*30*$E$7</f>
        <v>2.3595600000000001E-2</v>
      </c>
      <c r="H43" s="37">
        <f>(1-C43)*30*$K$34</f>
        <v>0.77777999999999992</v>
      </c>
      <c r="I43" s="37">
        <f t="shared" si="3"/>
        <v>15</v>
      </c>
      <c r="J43" s="38">
        <f t="shared" si="4"/>
        <v>21.0513756</v>
      </c>
      <c r="K43" s="39">
        <f>$M$24</f>
        <v>0.7</v>
      </c>
      <c r="L43" s="40">
        <f t="shared" si="5"/>
        <v>70.171251999999996</v>
      </c>
    </row>
    <row r="45" spans="2:12" x14ac:dyDescent="0.25">
      <c r="B45" s="64" t="s">
        <v>89</v>
      </c>
      <c r="C45" s="65"/>
      <c r="D45" s="65"/>
      <c r="E45" s="65"/>
      <c r="F45" s="65"/>
      <c r="G45" s="65"/>
      <c r="H45" s="65"/>
      <c r="I45" s="65"/>
      <c r="J45" s="65"/>
      <c r="K45" s="65"/>
      <c r="L45" s="65"/>
    </row>
    <row r="46" spans="2:12" ht="30" x14ac:dyDescent="0.25">
      <c r="B46" s="51" t="s">
        <v>56</v>
      </c>
      <c r="C46" s="51" t="s">
        <v>57</v>
      </c>
      <c r="D46" s="51" t="s">
        <v>80</v>
      </c>
      <c r="E46" s="51" t="s">
        <v>58</v>
      </c>
      <c r="F46" s="51" t="s">
        <v>98</v>
      </c>
      <c r="G46" s="51" t="s">
        <v>99</v>
      </c>
      <c r="H46" s="51" t="s">
        <v>100</v>
      </c>
      <c r="I46" s="51" t="s">
        <v>101</v>
      </c>
      <c r="J46" s="51" t="s">
        <v>102</v>
      </c>
      <c r="K46" s="51" t="s">
        <v>103</v>
      </c>
      <c r="L46" s="51" t="s">
        <v>104</v>
      </c>
    </row>
    <row r="47" spans="2:12" x14ac:dyDescent="0.25">
      <c r="B47" s="20" t="s">
        <v>59</v>
      </c>
      <c r="C47" s="19">
        <v>0.23499999999999999</v>
      </c>
      <c r="D47" s="20" t="s">
        <v>85</v>
      </c>
      <c r="E47" s="20" t="s">
        <v>86</v>
      </c>
      <c r="F47" s="37">
        <f>C47*50*$E$9</f>
        <v>8.2249999999999996</v>
      </c>
      <c r="G47" s="37">
        <f>INDEX($H$27:$H$33,MATCH(B47,$F$27:$F$33,0))*50*$E$7</f>
        <v>3.5112499999999998E-2</v>
      </c>
      <c r="H47" s="37">
        <f>(1-C47)*50*$K$34</f>
        <v>1.3222259999999999</v>
      </c>
      <c r="I47" s="37">
        <f>$E$12</f>
        <v>15</v>
      </c>
      <c r="J47" s="38">
        <f>SUM(F47:I47)</f>
        <v>24.582338499999999</v>
      </c>
      <c r="K47" s="39">
        <f>$M$25</f>
        <v>0.7</v>
      </c>
      <c r="L47" s="40">
        <f>J47/(1-K47)</f>
        <v>81.94112833333331</v>
      </c>
    </row>
    <row r="48" spans="2:12" x14ac:dyDescent="0.25">
      <c r="B48" s="20" t="s">
        <v>60</v>
      </c>
      <c r="C48" s="19">
        <v>0.23499999999999999</v>
      </c>
      <c r="D48" s="20" t="s">
        <v>85</v>
      </c>
      <c r="E48" s="20" t="s">
        <v>86</v>
      </c>
      <c r="F48" s="37">
        <f t="shared" ref="F48:F53" si="6">C48*50*$E$9</f>
        <v>8.2249999999999996</v>
      </c>
      <c r="G48" s="37">
        <f>INDEX($H$27:$H$33,MATCH(B48,$F$27:$F$33,0))*50*$E$7</f>
        <v>7.0224999999999996E-2</v>
      </c>
      <c r="H48" s="37">
        <f>(1-C48)*50*$K$34</f>
        <v>1.3222259999999999</v>
      </c>
      <c r="I48" s="37">
        <f t="shared" ref="I48:I53" si="7">$E$12</f>
        <v>15</v>
      </c>
      <c r="J48" s="38">
        <f t="shared" ref="J48:J53" si="8">SUM(F48:I48)</f>
        <v>24.617451000000003</v>
      </c>
      <c r="K48" s="39">
        <f>$M$25</f>
        <v>0.7</v>
      </c>
      <c r="L48" s="40">
        <f t="shared" ref="L48:L53" si="9">J48/(1-K48)</f>
        <v>82.05816999999999</v>
      </c>
    </row>
    <row r="49" spans="2:12" x14ac:dyDescent="0.25">
      <c r="B49" s="20" t="s">
        <v>61</v>
      </c>
      <c r="C49" s="19">
        <v>0.23499999999999999</v>
      </c>
      <c r="D49" s="20" t="s">
        <v>85</v>
      </c>
      <c r="E49" s="20" t="s">
        <v>86</v>
      </c>
      <c r="F49" s="37">
        <f t="shared" si="6"/>
        <v>8.2249999999999996</v>
      </c>
      <c r="G49" s="37">
        <f>INDEX($H$27:$H$33,MATCH(B49,$F$27:$F$33,0))*50*$E$7</f>
        <v>2.809E-2</v>
      </c>
      <c r="H49" s="37">
        <f>(1-C49)*50*$K$34</f>
        <v>1.3222259999999999</v>
      </c>
      <c r="I49" s="37">
        <f t="shared" si="7"/>
        <v>15</v>
      </c>
      <c r="J49" s="38">
        <f t="shared" si="8"/>
        <v>24.575316000000001</v>
      </c>
      <c r="K49" s="39">
        <f>$M$25</f>
        <v>0.7</v>
      </c>
      <c r="L49" s="40">
        <f t="shared" si="9"/>
        <v>81.917719999999989</v>
      </c>
    </row>
    <row r="50" spans="2:12" x14ac:dyDescent="0.25">
      <c r="B50" s="20" t="s">
        <v>62</v>
      </c>
      <c r="C50" s="21">
        <v>0.25</v>
      </c>
      <c r="D50" s="20" t="s">
        <v>50</v>
      </c>
      <c r="E50" s="20" t="s">
        <v>87</v>
      </c>
      <c r="F50" s="37">
        <f t="shared" si="6"/>
        <v>8.75</v>
      </c>
      <c r="G50" s="37">
        <f>INDEX($H$27:$H$33,MATCH(B50,$F$27:$F$33,0))*50*$E$7</f>
        <v>6.3202499999999995E-2</v>
      </c>
      <c r="H50" s="37">
        <f>(1-C50)*50*$K$34</f>
        <v>1.2962999999999998</v>
      </c>
      <c r="I50" s="37">
        <f t="shared" si="7"/>
        <v>15</v>
      </c>
      <c r="J50" s="38">
        <f t="shared" si="8"/>
        <v>25.109502499999998</v>
      </c>
      <c r="K50" s="39">
        <f>$M$25</f>
        <v>0.7</v>
      </c>
      <c r="L50" s="40">
        <f t="shared" si="9"/>
        <v>83.69834166666665</v>
      </c>
    </row>
    <row r="51" spans="2:12" x14ac:dyDescent="0.25">
      <c r="B51" s="20" t="s">
        <v>63</v>
      </c>
      <c r="C51" s="21">
        <v>0.25</v>
      </c>
      <c r="D51" s="20" t="s">
        <v>50</v>
      </c>
      <c r="E51" s="20" t="s">
        <v>87</v>
      </c>
      <c r="F51" s="37">
        <f t="shared" si="6"/>
        <v>8.75</v>
      </c>
      <c r="G51" s="37">
        <f>INDEX($H$27:$H$33,MATCH(B51,$F$27:$F$33,0))*50*$E$7</f>
        <v>1.6853999999999997E-2</v>
      </c>
      <c r="H51" s="37">
        <f>(1-C51)*50*$K$34</f>
        <v>1.2962999999999998</v>
      </c>
      <c r="I51" s="37">
        <f t="shared" si="7"/>
        <v>15</v>
      </c>
      <c r="J51" s="38">
        <f t="shared" si="8"/>
        <v>25.063154000000001</v>
      </c>
      <c r="K51" s="39">
        <f>$M$25</f>
        <v>0.7</v>
      </c>
      <c r="L51" s="40">
        <f t="shared" si="9"/>
        <v>83.543846666666653</v>
      </c>
    </row>
    <row r="52" spans="2:12" x14ac:dyDescent="0.25">
      <c r="B52" s="20" t="s">
        <v>64</v>
      </c>
      <c r="C52" s="21">
        <v>0.25</v>
      </c>
      <c r="D52" s="20" t="s">
        <v>50</v>
      </c>
      <c r="E52" s="20" t="s">
        <v>87</v>
      </c>
      <c r="F52" s="37">
        <f t="shared" si="6"/>
        <v>8.75</v>
      </c>
      <c r="G52" s="37">
        <f>INDEX($H$27:$H$33,MATCH(B52,$F$27:$F$33,0))*50*$E$7</f>
        <v>2.5280999999999998E-2</v>
      </c>
      <c r="H52" s="37">
        <f>(1-C52)*50*$K$34</f>
        <v>1.2962999999999998</v>
      </c>
      <c r="I52" s="37">
        <f t="shared" si="7"/>
        <v>15</v>
      </c>
      <c r="J52" s="38">
        <f t="shared" si="8"/>
        <v>25.071581000000002</v>
      </c>
      <c r="K52" s="39">
        <f>$M$25</f>
        <v>0.7</v>
      </c>
      <c r="L52" s="40">
        <f t="shared" si="9"/>
        <v>83.571936666666659</v>
      </c>
    </row>
    <row r="53" spans="2:12" x14ac:dyDescent="0.25">
      <c r="B53" s="20" t="s">
        <v>65</v>
      </c>
      <c r="C53" s="21">
        <v>0.25</v>
      </c>
      <c r="D53" s="20" t="s">
        <v>50</v>
      </c>
      <c r="E53" s="20" t="s">
        <v>87</v>
      </c>
      <c r="F53" s="37">
        <f t="shared" si="6"/>
        <v>8.75</v>
      </c>
      <c r="G53" s="37">
        <f>INDEX($H$27:$H$33,MATCH(B53,$F$27:$F$33,0))*50*$E$7</f>
        <v>3.9325999999999993E-2</v>
      </c>
      <c r="H53" s="37">
        <f>(1-C53)*50*$K$34</f>
        <v>1.2962999999999998</v>
      </c>
      <c r="I53" s="37">
        <f t="shared" si="7"/>
        <v>15</v>
      </c>
      <c r="J53" s="38">
        <f t="shared" si="8"/>
        <v>25.085626000000001</v>
      </c>
      <c r="K53" s="39">
        <f>$M$25</f>
        <v>0.7</v>
      </c>
      <c r="L53" s="40">
        <f t="shared" si="9"/>
        <v>83.618753333333331</v>
      </c>
    </row>
  </sheetData>
  <mergeCells count="3">
    <mergeCell ref="B25:D25"/>
    <mergeCell ref="F25:H25"/>
    <mergeCell ref="B1:M1"/>
  </mergeCells>
  <conditionalFormatting sqref="B27:D32">
    <cfRule type="expression" dxfId="4" priority="2">
      <formula>ISEVEN(ROW())</formula>
    </cfRule>
  </conditionalFormatting>
  <conditionalFormatting sqref="B4:E12">
    <cfRule type="expression" dxfId="3" priority="1">
      <formula>ISEVEN(ROW())</formula>
    </cfRule>
  </conditionalFormatting>
  <conditionalFormatting sqref="B37:L43">
    <cfRule type="expression" dxfId="2" priority="10">
      <formula>ISEVEN(ROW())</formula>
    </cfRule>
  </conditionalFormatting>
  <conditionalFormatting sqref="B47:L53">
    <cfRule type="expression" dxfId="1" priority="11">
      <formula>ISEVEN(ROW())</formula>
    </cfRule>
  </conditionalFormatting>
  <conditionalFormatting sqref="F27:H33">
    <cfRule type="expression" dxfId="0" priority="3">
      <formula>ISEVEN(ROW())</formula>
    </cfRule>
  </conditionalFormatting>
  <conditionalFormatting sqref="J37:J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{176A6A39-6EDE-4F72-8CA2-AF26A17A3EE1}</x14:id>
        </ext>
      </extLst>
    </cfRule>
  </conditionalFormatting>
  <conditionalFormatting sqref="J47:J53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{CC7FD794-687C-488C-9260-BA177D54C8F0}</x14:id>
        </ext>
      </extLst>
    </cfRule>
  </conditionalFormatting>
  <conditionalFormatting sqref="K37:K43">
    <cfRule type="iconSet" priority="8">
      <iconSet>
        <cfvo type="percent" val="0"/>
        <cfvo type="num" val="0.5"/>
        <cfvo type="num" val="0.7"/>
      </iconSet>
    </cfRule>
  </conditionalFormatting>
  <conditionalFormatting sqref="K47:K53">
    <cfRule type="iconSet" priority="9">
      <iconSet>
        <cfvo type="percent" val="0"/>
        <cfvo type="num" val="0.5"/>
        <cfvo type="num" val="0.7"/>
      </iconSet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6A6A39-6EDE-4F72-8CA2-AF26A17A3EE1}">
            <x14:dataBar minLength="0" maxLength="100" negativeBarColorSameAsPositive="1" axisPosition="none">
              <x14:cfvo type="min"/>
              <x14:cfvo type="max"/>
            </x14:dataBar>
          </x14:cfRule>
          <xm:sqref>J37:J43</xm:sqref>
        </x14:conditionalFormatting>
        <x14:conditionalFormatting xmlns:xm="http://schemas.microsoft.com/office/excel/2006/main">
          <x14:cfRule type="dataBar" id="{CC7FD794-687C-488C-9260-BA177D54C8F0}">
            <x14:dataBar minLength="0" maxLength="100" negativeBarColorSameAsPositive="1" axisPosition="none">
              <x14:cfvo type="min"/>
              <x14:cfvo type="max"/>
            </x14:dataBar>
          </x14:cfRule>
          <xm:sqref>J47:J53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24929-6C87-4A7D-93B6-E51C2DAB8ECF}">
  <dimension ref="A4:L69"/>
  <sheetViews>
    <sheetView topLeftCell="A52" workbookViewId="0">
      <selection activeCell="M72" sqref="M72"/>
    </sheetView>
  </sheetViews>
  <sheetFormatPr defaultRowHeight="15" x14ac:dyDescent="0.25"/>
  <cols>
    <col min="1" max="1" width="4.28515625" style="15" customWidth="1"/>
    <col min="2" max="2" width="14" customWidth="1"/>
    <col min="3" max="3" width="12.5703125" customWidth="1"/>
    <col min="4" max="4" width="10.5703125" bestFit="1" customWidth="1"/>
    <col min="7" max="7" width="8.7109375" customWidth="1"/>
    <col min="10" max="10" width="9.5703125" bestFit="1" customWidth="1"/>
  </cols>
  <sheetData>
    <row r="4" spans="2:4" x14ac:dyDescent="0.25">
      <c r="B4" t="s">
        <v>27</v>
      </c>
      <c r="C4" t="s">
        <v>25</v>
      </c>
      <c r="D4" t="s">
        <v>26</v>
      </c>
    </row>
    <row r="5" spans="2:4" x14ac:dyDescent="0.25">
      <c r="B5" t="s">
        <v>18</v>
      </c>
      <c r="C5">
        <v>2.6</v>
      </c>
      <c r="D5">
        <v>3.8</v>
      </c>
    </row>
    <row r="6" spans="2:4" x14ac:dyDescent="0.25">
      <c r="B6" t="s">
        <v>17</v>
      </c>
      <c r="C6">
        <v>1</v>
      </c>
      <c r="D6">
        <v>1</v>
      </c>
    </row>
    <row r="7" spans="2:4" x14ac:dyDescent="0.25">
      <c r="B7" t="s">
        <v>19</v>
      </c>
      <c r="C7">
        <v>4</v>
      </c>
      <c r="D7">
        <v>4.9000000000000004</v>
      </c>
    </row>
    <row r="8" spans="2:4" x14ac:dyDescent="0.25">
      <c r="B8" t="s">
        <v>20</v>
      </c>
      <c r="C8">
        <v>2.8</v>
      </c>
      <c r="D8">
        <v>2.8</v>
      </c>
    </row>
    <row r="9" spans="2:4" x14ac:dyDescent="0.25">
      <c r="B9" t="s">
        <v>21</v>
      </c>
      <c r="C9">
        <v>19</v>
      </c>
      <c r="D9">
        <v>21</v>
      </c>
    </row>
    <row r="10" spans="2:4" x14ac:dyDescent="0.25">
      <c r="B10" t="s">
        <v>22</v>
      </c>
      <c r="C10">
        <v>0.15</v>
      </c>
      <c r="D10">
        <v>0.1</v>
      </c>
    </row>
    <row r="11" spans="2:4" x14ac:dyDescent="0.25">
      <c r="B11" t="s">
        <v>23</v>
      </c>
      <c r="C11">
        <v>0.8</v>
      </c>
      <c r="D11">
        <v>0.9</v>
      </c>
    </row>
    <row r="12" spans="2:4" x14ac:dyDescent="0.25">
      <c r="B12" t="s">
        <v>24</v>
      </c>
      <c r="C12">
        <v>53.7</v>
      </c>
      <c r="D12">
        <v>66.599999999999994</v>
      </c>
    </row>
    <row r="15" spans="2:4" x14ac:dyDescent="0.25">
      <c r="D15">
        <f>SUM(D5:D14)</f>
        <v>101.1</v>
      </c>
    </row>
    <row r="18" spans="2:4" x14ac:dyDescent="0.25">
      <c r="B18" t="s">
        <v>27</v>
      </c>
      <c r="C18" t="s">
        <v>25</v>
      </c>
      <c r="D18" t="s">
        <v>26</v>
      </c>
    </row>
    <row r="19" spans="2:4" x14ac:dyDescent="0.25">
      <c r="B19" t="s">
        <v>21</v>
      </c>
      <c r="C19">
        <v>19</v>
      </c>
      <c r="D19">
        <v>20</v>
      </c>
    </row>
    <row r="20" spans="2:4" x14ac:dyDescent="0.25">
      <c r="B20" t="s">
        <v>18</v>
      </c>
      <c r="C20">
        <v>3.84</v>
      </c>
      <c r="D20">
        <v>4</v>
      </c>
    </row>
    <row r="21" spans="2:4" x14ac:dyDescent="0.25">
      <c r="B21" t="s">
        <v>20</v>
      </c>
      <c r="C21">
        <v>3</v>
      </c>
      <c r="D21">
        <v>3</v>
      </c>
    </row>
    <row r="22" spans="2:4" x14ac:dyDescent="0.25">
      <c r="B22" t="s">
        <v>19</v>
      </c>
      <c r="C22">
        <v>1.7</v>
      </c>
      <c r="D22">
        <v>2</v>
      </c>
    </row>
    <row r="23" spans="2:4" x14ac:dyDescent="0.25">
      <c r="B23" t="s">
        <v>17</v>
      </c>
      <c r="C23">
        <v>1</v>
      </c>
      <c r="D23">
        <v>1</v>
      </c>
    </row>
    <row r="24" spans="2:4" x14ac:dyDescent="0.25">
      <c r="B24" t="s">
        <v>28</v>
      </c>
      <c r="C24">
        <v>0.42</v>
      </c>
      <c r="D24">
        <v>0.5</v>
      </c>
    </row>
    <row r="25" spans="2:4" x14ac:dyDescent="0.25">
      <c r="B25" t="s">
        <v>22</v>
      </c>
      <c r="C25">
        <v>0.41</v>
      </c>
      <c r="D25">
        <v>0.5</v>
      </c>
    </row>
    <row r="26" spans="2:4" x14ac:dyDescent="0.25">
      <c r="B26" t="s">
        <v>29</v>
      </c>
      <c r="C26">
        <v>55.8</v>
      </c>
      <c r="D26">
        <v>69</v>
      </c>
    </row>
    <row r="28" spans="2:4" x14ac:dyDescent="0.25">
      <c r="D28">
        <f>SUM(D19:D27)</f>
        <v>100</v>
      </c>
    </row>
    <row r="30" spans="2:4" x14ac:dyDescent="0.25">
      <c r="B30" t="s">
        <v>27</v>
      </c>
      <c r="C30" s="15" t="s">
        <v>36</v>
      </c>
    </row>
    <row r="31" spans="2:4" x14ac:dyDescent="0.25">
      <c r="B31" t="s">
        <v>30</v>
      </c>
      <c r="C31">
        <v>3</v>
      </c>
    </row>
    <row r="32" spans="2:4" x14ac:dyDescent="0.25">
      <c r="B32" t="s">
        <v>31</v>
      </c>
      <c r="C32">
        <v>0.5</v>
      </c>
    </row>
    <row r="33" spans="2:3" x14ac:dyDescent="0.25">
      <c r="B33" t="s">
        <v>32</v>
      </c>
      <c r="C33">
        <v>2</v>
      </c>
    </row>
    <row r="34" spans="2:3" x14ac:dyDescent="0.25">
      <c r="B34" t="s">
        <v>33</v>
      </c>
      <c r="C34">
        <v>2</v>
      </c>
    </row>
    <row r="35" spans="2:3" x14ac:dyDescent="0.25">
      <c r="B35" t="s">
        <v>34</v>
      </c>
      <c r="C35">
        <v>2</v>
      </c>
    </row>
    <row r="36" spans="2:3" x14ac:dyDescent="0.25">
      <c r="B36" t="s">
        <v>35</v>
      </c>
      <c r="C36">
        <v>0.2</v>
      </c>
    </row>
    <row r="37" spans="2:3" x14ac:dyDescent="0.25">
      <c r="B37" t="s">
        <v>38</v>
      </c>
      <c r="C37" s="16" t="s">
        <v>39</v>
      </c>
    </row>
    <row r="38" spans="2:3" x14ac:dyDescent="0.25">
      <c r="B38" t="s">
        <v>37</v>
      </c>
      <c r="C38" s="14">
        <v>0.25</v>
      </c>
    </row>
    <row r="45" spans="2:3" x14ac:dyDescent="0.25">
      <c r="B45" t="s">
        <v>40</v>
      </c>
      <c r="C45">
        <v>199</v>
      </c>
    </row>
    <row r="46" spans="2:3" x14ac:dyDescent="0.25">
      <c r="B46" t="s">
        <v>41</v>
      </c>
      <c r="C46">
        <v>406</v>
      </c>
    </row>
    <row r="47" spans="2:3" x14ac:dyDescent="0.25">
      <c r="B47" t="s">
        <v>42</v>
      </c>
      <c r="C47">
        <v>140</v>
      </c>
    </row>
    <row r="49" spans="1:12" x14ac:dyDescent="0.25">
      <c r="C49">
        <f>SUM(C45:C48)</f>
        <v>745</v>
      </c>
    </row>
    <row r="56" spans="1:12" x14ac:dyDescent="0.25">
      <c r="H56" s="60">
        <v>0.75</v>
      </c>
      <c r="I56" s="60">
        <v>0.5</v>
      </c>
      <c r="J56" s="60">
        <v>0.3</v>
      </c>
      <c r="K56" s="60">
        <v>0.05</v>
      </c>
      <c r="L56" s="60">
        <v>0.02</v>
      </c>
    </row>
    <row r="57" spans="1:12" x14ac:dyDescent="0.25">
      <c r="B57" s="53" t="s">
        <v>45</v>
      </c>
      <c r="C57" s="53" t="s">
        <v>122</v>
      </c>
      <c r="D57" s="53" t="s">
        <v>75</v>
      </c>
      <c r="E57" s="53" t="s">
        <v>123</v>
      </c>
      <c r="F57" s="53" t="s">
        <v>124</v>
      </c>
      <c r="G57" s="53" t="s">
        <v>125</v>
      </c>
      <c r="H57">
        <v>100</v>
      </c>
      <c r="I57">
        <v>50</v>
      </c>
      <c r="J57">
        <v>30</v>
      </c>
      <c r="K57">
        <v>10</v>
      </c>
      <c r="L57">
        <v>5</v>
      </c>
    </row>
    <row r="58" spans="1:12" x14ac:dyDescent="0.25">
      <c r="A58" s="52">
        <v>1</v>
      </c>
      <c r="B58" s="17" t="s">
        <v>114</v>
      </c>
      <c r="C58" s="17" t="s">
        <v>5</v>
      </c>
      <c r="D58" s="54">
        <v>72</v>
      </c>
      <c r="E58" s="17">
        <v>50</v>
      </c>
      <c r="F58" s="55">
        <v>0.25</v>
      </c>
      <c r="G58" s="59">
        <f>E58/F58</f>
        <v>200</v>
      </c>
      <c r="H58" s="57">
        <f>$G58/H$57</f>
        <v>2</v>
      </c>
      <c r="I58" s="57">
        <f>$G58/I$57</f>
        <v>4</v>
      </c>
      <c r="J58" s="57">
        <f>$G58/J$57</f>
        <v>6.666666666666667</v>
      </c>
      <c r="K58" s="58">
        <f>$G58/K$57</f>
        <v>20</v>
      </c>
      <c r="L58" s="58">
        <f>$G58/L$57</f>
        <v>40</v>
      </c>
    </row>
    <row r="59" spans="1:12" x14ac:dyDescent="0.25">
      <c r="A59" s="52">
        <v>2</v>
      </c>
      <c r="B59" s="17" t="s">
        <v>64</v>
      </c>
      <c r="C59" s="17" t="s">
        <v>120</v>
      </c>
      <c r="D59" s="54">
        <v>59</v>
      </c>
      <c r="E59" s="17">
        <v>100</v>
      </c>
      <c r="F59" s="55">
        <v>0.25</v>
      </c>
      <c r="G59" s="59">
        <f t="shared" ref="G59:G66" si="0">E59/F59</f>
        <v>400</v>
      </c>
      <c r="H59" s="57">
        <f t="shared" ref="H59:L66" si="1">$G59/H$57</f>
        <v>4</v>
      </c>
      <c r="I59" s="57">
        <f t="shared" si="1"/>
        <v>8</v>
      </c>
      <c r="J59" s="57">
        <f t="shared" si="1"/>
        <v>13.333333333333334</v>
      </c>
      <c r="K59" s="58">
        <f t="shared" si="1"/>
        <v>40</v>
      </c>
      <c r="L59" s="58">
        <f t="shared" si="1"/>
        <v>80</v>
      </c>
    </row>
    <row r="60" spans="1:12" x14ac:dyDescent="0.25">
      <c r="A60" s="52">
        <v>3</v>
      </c>
      <c r="B60" s="17" t="s">
        <v>118</v>
      </c>
      <c r="C60" s="17" t="s">
        <v>120</v>
      </c>
      <c r="D60" s="54">
        <v>59</v>
      </c>
      <c r="E60" s="17">
        <v>100</v>
      </c>
      <c r="F60" s="55">
        <v>0.25</v>
      </c>
      <c r="G60" s="59">
        <f t="shared" si="0"/>
        <v>400</v>
      </c>
      <c r="H60" s="57">
        <f t="shared" si="1"/>
        <v>4</v>
      </c>
      <c r="I60" s="57">
        <f t="shared" si="1"/>
        <v>8</v>
      </c>
      <c r="J60" s="57">
        <f t="shared" si="1"/>
        <v>13.333333333333334</v>
      </c>
      <c r="K60" s="58">
        <f t="shared" si="1"/>
        <v>40</v>
      </c>
      <c r="L60" s="58">
        <f t="shared" si="1"/>
        <v>80</v>
      </c>
    </row>
    <row r="61" spans="1:12" x14ac:dyDescent="0.25">
      <c r="A61" s="52">
        <v>4</v>
      </c>
      <c r="B61" s="17" t="s">
        <v>115</v>
      </c>
      <c r="C61" s="17" t="s">
        <v>121</v>
      </c>
      <c r="D61" s="54">
        <v>128</v>
      </c>
      <c r="E61" s="17">
        <v>100</v>
      </c>
      <c r="F61" s="55">
        <v>0.25</v>
      </c>
      <c r="G61" s="59">
        <f t="shared" si="0"/>
        <v>400</v>
      </c>
      <c r="H61" s="57">
        <f t="shared" si="1"/>
        <v>4</v>
      </c>
      <c r="I61" s="57">
        <f t="shared" si="1"/>
        <v>8</v>
      </c>
      <c r="J61" s="57">
        <f t="shared" si="1"/>
        <v>13.333333333333334</v>
      </c>
      <c r="K61" s="58">
        <f t="shared" si="1"/>
        <v>40</v>
      </c>
      <c r="L61" s="58">
        <f t="shared" si="1"/>
        <v>80</v>
      </c>
    </row>
    <row r="62" spans="1:12" x14ac:dyDescent="0.25">
      <c r="A62" s="52">
        <v>5</v>
      </c>
      <c r="B62" s="17" t="s">
        <v>116</v>
      </c>
      <c r="C62" s="17" t="s">
        <v>120</v>
      </c>
      <c r="D62" s="54">
        <v>59</v>
      </c>
      <c r="E62" s="17">
        <v>100</v>
      </c>
      <c r="F62" s="55">
        <v>0.25</v>
      </c>
      <c r="G62" s="59">
        <f t="shared" si="0"/>
        <v>400</v>
      </c>
      <c r="H62" s="57">
        <f t="shared" si="1"/>
        <v>4</v>
      </c>
      <c r="I62" s="57">
        <f t="shared" si="1"/>
        <v>8</v>
      </c>
      <c r="J62" s="57">
        <f t="shared" si="1"/>
        <v>13.333333333333334</v>
      </c>
      <c r="K62" s="58">
        <f t="shared" si="1"/>
        <v>40</v>
      </c>
      <c r="L62" s="58">
        <f t="shared" si="1"/>
        <v>80</v>
      </c>
    </row>
    <row r="63" spans="1:12" x14ac:dyDescent="0.25">
      <c r="A63" s="52">
        <v>6</v>
      </c>
      <c r="B63" s="17" t="s">
        <v>117</v>
      </c>
      <c r="C63" s="17" t="s">
        <v>121</v>
      </c>
      <c r="D63" s="54">
        <v>59</v>
      </c>
      <c r="E63" s="17">
        <v>50</v>
      </c>
      <c r="F63" s="55">
        <v>0.25</v>
      </c>
      <c r="G63" s="59">
        <f t="shared" si="0"/>
        <v>200</v>
      </c>
      <c r="H63" s="57">
        <f t="shared" si="1"/>
        <v>2</v>
      </c>
      <c r="I63" s="57">
        <f t="shared" si="1"/>
        <v>4</v>
      </c>
      <c r="J63" s="57">
        <f t="shared" si="1"/>
        <v>6.666666666666667</v>
      </c>
      <c r="K63" s="58">
        <f t="shared" si="1"/>
        <v>20</v>
      </c>
      <c r="L63" s="58">
        <f t="shared" si="1"/>
        <v>40</v>
      </c>
    </row>
    <row r="64" spans="1:12" x14ac:dyDescent="0.25">
      <c r="A64" s="52">
        <v>7</v>
      </c>
      <c r="B64" s="17" t="s">
        <v>119</v>
      </c>
      <c r="C64" s="17" t="s">
        <v>120</v>
      </c>
      <c r="D64" s="54">
        <v>59</v>
      </c>
      <c r="E64" s="17">
        <v>100</v>
      </c>
      <c r="F64" s="55">
        <v>0.25</v>
      </c>
      <c r="G64" s="59">
        <f t="shared" si="0"/>
        <v>400</v>
      </c>
      <c r="H64" s="57">
        <f t="shared" si="1"/>
        <v>4</v>
      </c>
      <c r="I64" s="57">
        <f t="shared" si="1"/>
        <v>8</v>
      </c>
      <c r="J64" s="57">
        <f t="shared" si="1"/>
        <v>13.333333333333334</v>
      </c>
      <c r="K64" s="58">
        <f t="shared" si="1"/>
        <v>40</v>
      </c>
      <c r="L64" s="58">
        <f t="shared" si="1"/>
        <v>80</v>
      </c>
    </row>
    <row r="65" spans="1:12" x14ac:dyDescent="0.25">
      <c r="A65" s="52">
        <v>8</v>
      </c>
      <c r="B65" s="17" t="s">
        <v>63</v>
      </c>
      <c r="C65" s="17" t="s">
        <v>120</v>
      </c>
      <c r="D65" s="54">
        <v>59</v>
      </c>
      <c r="E65" s="17">
        <v>100</v>
      </c>
      <c r="F65" s="55">
        <v>0.25</v>
      </c>
      <c r="G65" s="59">
        <f t="shared" si="0"/>
        <v>400</v>
      </c>
      <c r="H65" s="57">
        <f t="shared" si="1"/>
        <v>4</v>
      </c>
      <c r="I65" s="57">
        <f t="shared" si="1"/>
        <v>8</v>
      </c>
      <c r="J65" s="57">
        <f t="shared" si="1"/>
        <v>13.333333333333334</v>
      </c>
      <c r="K65" s="58">
        <f t="shared" si="1"/>
        <v>40</v>
      </c>
      <c r="L65" s="58">
        <f t="shared" si="1"/>
        <v>80</v>
      </c>
    </row>
    <row r="66" spans="1:12" x14ac:dyDescent="0.25">
      <c r="A66" s="52">
        <v>9</v>
      </c>
      <c r="B66" s="17" t="s">
        <v>126</v>
      </c>
      <c r="C66" s="17" t="s">
        <v>5</v>
      </c>
      <c r="D66" s="66">
        <v>72</v>
      </c>
      <c r="E66" s="17">
        <v>50</v>
      </c>
      <c r="F66" s="67">
        <v>0.25</v>
      </c>
      <c r="G66" s="59">
        <f t="shared" si="0"/>
        <v>200</v>
      </c>
      <c r="H66" s="57">
        <f t="shared" si="1"/>
        <v>2</v>
      </c>
      <c r="I66" s="57">
        <f t="shared" si="1"/>
        <v>4</v>
      </c>
      <c r="J66" s="57">
        <f t="shared" si="1"/>
        <v>6.666666666666667</v>
      </c>
      <c r="K66" s="58">
        <f t="shared" si="1"/>
        <v>20</v>
      </c>
      <c r="L66" s="58">
        <f t="shared" si="1"/>
        <v>40</v>
      </c>
    </row>
    <row r="69" spans="1:12" x14ac:dyDescent="0.25">
      <c r="B69" t="s">
        <v>96</v>
      </c>
      <c r="D69" s="56">
        <f>SUM(D58:D68)</f>
        <v>626</v>
      </c>
      <c r="G69">
        <f>SUM(G58:G68)</f>
        <v>3000</v>
      </c>
      <c r="H69">
        <f>SUM(H58:H68)</f>
        <v>30</v>
      </c>
      <c r="I69">
        <f t="shared" ref="I69:K69" si="2">SUM(I58:I68)</f>
        <v>60</v>
      </c>
      <c r="J69" s="58">
        <f t="shared" si="2"/>
        <v>100</v>
      </c>
      <c r="K69">
        <f t="shared" si="2"/>
        <v>300</v>
      </c>
      <c r="L69" s="58">
        <f>SUM(L58:L68)</f>
        <v>600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Planilha2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Luiz da Silva Martins</dc:creator>
  <cp:lastModifiedBy>Andre Luiz da Silva Martins</cp:lastModifiedBy>
  <dcterms:created xsi:type="dcterms:W3CDTF">2015-06-05T18:19:34Z</dcterms:created>
  <dcterms:modified xsi:type="dcterms:W3CDTF">2026-07-16T21:07:07Z</dcterms:modified>
</cp:coreProperties>
</file>